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3066673\Downloads\"/>
    </mc:Choice>
  </mc:AlternateContent>
  <bookViews>
    <workbookView xWindow="-120" yWindow="-120" windowWidth="20640" windowHeight="11160" tabRatio="249"/>
  </bookViews>
  <sheets>
    <sheet name="BASE_ESTORNOS" sheetId="1" r:id="rId1"/>
    <sheet name="Plan1" sheetId="2" r:id="rId2"/>
  </sheets>
  <definedNames>
    <definedName name="ID">BASE_ESTORNOS!$M$1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" i="1" l="1"/>
  <c r="K5" i="1"/>
  <c r="K4" i="1" l="1"/>
  <c r="K3" i="1" l="1"/>
  <c r="K2" i="1"/>
</calcChain>
</file>

<file path=xl/sharedStrings.xml><?xml version="1.0" encoding="utf-8"?>
<sst xmlns="http://schemas.openxmlformats.org/spreadsheetml/2006/main" count="32" uniqueCount="24">
  <si>
    <t>DATA</t>
  </si>
  <si>
    <t>ROTA</t>
  </si>
  <si>
    <t>ALIADO</t>
  </si>
  <si>
    <t>OCORRENCIA</t>
  </si>
  <si>
    <t>NOTAS</t>
  </si>
  <si>
    <t>VALOR R$</t>
  </si>
  <si>
    <t>MOTIVO</t>
  </si>
  <si>
    <t>CHAMADO</t>
  </si>
  <si>
    <t/>
  </si>
  <si>
    <t>ID</t>
  </si>
  <si>
    <t>27/09/2021</t>
  </si>
  <si>
    <t>ASNDV</t>
  </si>
  <si>
    <t>STATUS</t>
  </si>
  <si>
    <t>DIVERGÊNCIA DE CUSTO</t>
  </si>
  <si>
    <t>CHAMADO OK</t>
  </si>
  <si>
    <t>270921-0011456</t>
  </si>
  <si>
    <t>MERCADORIA EM DESACORDO C/ PEDIDO</t>
  </si>
  <si>
    <t>AGUARD. ASSINATURA</t>
  </si>
  <si>
    <t>29/09/2021</t>
  </si>
  <si>
    <t>DIVERGÊNCIA DE IMPOSTO</t>
  </si>
  <si>
    <t>EM CONFERENCIA</t>
  </si>
  <si>
    <t>28/09/2021</t>
  </si>
  <si>
    <t>255,25</t>
  </si>
  <si>
    <t>FALTA VERIFY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</si>
</sst>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/>
    </xf>
    <xf numFmtId="0" fontId="4" fillId="0" borderId="0" xfId="0" applyFont="1"/>
    <xf numFmtId="0" fontId="0" fillId="0" borderId="0" xfId="0" applyNumberFormat="1"/>
    <xf numFmtId="0" fontId="2" fillId="0" borderId="0" xfId="0" applyFont="1"/>
    <xf numFmtId="2" fontId="1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5" fillId="2" borderId="0" xfId="0" applyFont="1" applyFill="1"/>
    <xf numFmtId="0" fontId="1" fillId="2" borderId="0" xfId="0" applyFont="1" applyFill="1"/>
    <xf numFmtId="0" fontId="5" fillId="2" borderId="0" xfId="0" applyFont="1" applyFill="1" applyAlignment="1">
      <alignment horizontal="center"/>
    </xf>
    <xf numFmtId="0" fontId="0" fillId="2" borderId="0" xfId="0" applyFill="1"/>
    <xf numFmtId="0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right"/>
    </xf>
  </cellXfs>
  <cellStyles count="1">
    <cellStyle name="Normal" xfId="0" builtinId="0"/>
  </cellStyles>
  <dxfs count="11"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</xdr:row>
      <xdr:rowOff>66675</xdr:rowOff>
    </xdr:from>
    <xdr:to>
      <xdr:col>14</xdr:col>
      <xdr:colOff>266700</xdr:colOff>
      <xdr:row>5</xdr:row>
      <xdr:rowOff>28575</xdr:rowOff>
    </xdr:to>
    <xdr:sp macro="[0]!EXIBIR" textlink="">
      <xdr:nvSpPr>
        <xdr:cNvPr id="2" name="Retângulo: Biselado 1">
          <a:extLst>
            <a:ext uri="{FF2B5EF4-FFF2-40B4-BE49-F238E27FC236}">
              <a16:creationId xmlns:a16="http://schemas.microsoft.com/office/drawing/2014/main" xmlns="" id="{CB4BC65C-D069-4083-B769-12BF8DF29E68}"/>
            </a:ext>
          </a:extLst>
        </xdr:cNvPr>
        <xdr:cNvSpPr/>
      </xdr:nvSpPr>
      <xdr:spPr>
        <a:xfrm>
          <a:off x="9705975" y="257175"/>
          <a:ext cx="1219200" cy="723900"/>
        </a:xfrm>
        <a:prstGeom prst="bevel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INSERIR</a:t>
          </a:r>
          <a:r>
            <a:rPr lang="pt-BR" sz="11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CHAMADOS</a:t>
          </a:r>
          <a:endParaRPr lang="pt-BR" sz="11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A1:K6" totalsRowShown="0" headerRowDxfId="10">
  <tableColumns count="11">
    <tableColumn id="1" name="ID" dataDxfId="9"/>
    <tableColumn id="2" name="DATA" dataDxfId="8"/>
    <tableColumn id="3" name="ROTA" dataDxfId="7"/>
    <tableColumn id="4" name="ALIADO" dataDxfId="6"/>
    <tableColumn id="5" name="OCORRENCIA" dataDxfId="5"/>
    <tableColumn id="6" name="NOTAS" dataDxfId="4"/>
    <tableColumn id="7" name="VALOR R$" dataDxfId="3"/>
    <tableColumn id="8" name="MOTIVO" dataDxfId="2"/>
    <tableColumn id="11" name="CHAMADO"/>
    <tableColumn id="13" name="STATUS" dataDxfId="1"/>
    <tableColumn id="9" name="ASNDV" dataDxfId="0">
      <calculatedColumnFormula>CONCATENATE("ASNDV675700",Tabela1[[#This Row],[ROTA]])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18"/>
  <sheetViews>
    <sheetView showGridLines="0" tabSelected="1" topLeftCell="E1" zoomScaleNormal="100" workbookViewId="0">
      <selection activeCell="A5" sqref="A5"/>
    </sheetView>
  </sheetViews>
  <sheetFormatPr defaultColWidth="8.140625" defaultRowHeight="15"/>
  <cols>
    <col min="1" max="1" width="0.7109375" style="6" customWidth="1"/>
    <col min="2" max="2" width="10.7109375" style="2" bestFit="1" customWidth="1"/>
    <col min="3" max="3" width="8" style="2" bestFit="1" customWidth="1"/>
    <col min="4" max="4" width="7.7109375" style="2" bestFit="1" customWidth="1"/>
    <col min="5" max="5" width="12.7109375" style="2" bestFit="1" customWidth="1"/>
    <col min="6" max="6" width="7.140625" style="6" bestFit="1" customWidth="1"/>
    <col min="7" max="7" width="9.5703125" style="13" bestFit="1" customWidth="1"/>
    <col min="8" max="8" width="38.140625" style="2" bestFit="1" customWidth="1"/>
    <col min="9" max="9" width="14.85546875" bestFit="1" customWidth="1"/>
    <col min="10" max="10" width="13.5703125" style="11" bestFit="1" customWidth="1"/>
    <col min="11" max="11" width="20.5703125" bestFit="1" customWidth="1"/>
    <col min="12" max="12" width="8" style="14" customWidth="1"/>
    <col min="13" max="13" width="0.7109375" style="14" hidden="1" customWidth="1"/>
    <col min="14" max="14" width="8.140625" style="14"/>
    <col min="15" max="16384" width="8.140625" style="17"/>
  </cols>
  <sheetData>
    <row r="1" spans="1:14" s="15" customFormat="1">
      <c r="A1" s="7" t="s">
        <v>9</v>
      </c>
      <c r="B1" s="3" t="s">
        <v>0</v>
      </c>
      <c r="C1" s="1" t="s">
        <v>1</v>
      </c>
      <c r="D1" s="1" t="s">
        <v>2</v>
      </c>
      <c r="E1" s="1" t="s">
        <v>3</v>
      </c>
      <c r="F1" s="8" t="s">
        <v>4</v>
      </c>
      <c r="G1" s="12" t="s">
        <v>5</v>
      </c>
      <c r="H1" s="1" t="s">
        <v>6</v>
      </c>
      <c r="I1" s="1" t="s">
        <v>7</v>
      </c>
      <c r="J1" s="3" t="s">
        <v>12</v>
      </c>
      <c r="K1" s="9" t="s">
        <v>11</v>
      </c>
      <c r="L1" s="14"/>
      <c r="M1" s="14">
        <v>20</v>
      </c>
      <c r="N1" s="14"/>
    </row>
    <row r="2" spans="1:14" s="15" customFormat="1">
      <c r="A2" s="6">
        <v>10</v>
      </c>
      <c r="B2" s="5" t="s">
        <v>10</v>
      </c>
      <c r="C2" s="2">
        <v>741036</v>
      </c>
      <c r="D2" s="2">
        <v>3599</v>
      </c>
      <c r="E2" s="2">
        <v>321145</v>
      </c>
      <c r="F2" s="6">
        <v>523114</v>
      </c>
      <c r="G2" s="13">
        <v>58946</v>
      </c>
      <c r="H2" s="2" t="s">
        <v>13</v>
      </c>
      <c r="I2" s="4" t="s">
        <v>15</v>
      </c>
      <c r="J2" s="2" t="s">
        <v>14</v>
      </c>
      <c r="K2" s="10" t="str">
        <f>CONCATENATE("ASNDV675700",Tabela1[[#This Row],[ROTA]])</f>
        <v>ASNDV675700741036</v>
      </c>
      <c r="L2" s="14"/>
      <c r="M2" s="16"/>
      <c r="N2" s="14"/>
    </row>
    <row r="3" spans="1:14">
      <c r="A3" s="6">
        <v>12</v>
      </c>
      <c r="B3" s="5" t="s">
        <v>10</v>
      </c>
      <c r="C3" s="2">
        <v>7466987</v>
      </c>
      <c r="D3" s="2">
        <v>3466</v>
      </c>
      <c r="E3" s="2">
        <v>34564</v>
      </c>
      <c r="F3" s="6">
        <v>534567</v>
      </c>
      <c r="G3" s="13">
        <v>3214</v>
      </c>
      <c r="H3" s="2" t="s">
        <v>16</v>
      </c>
      <c r="I3" s="4" t="s">
        <v>8</v>
      </c>
      <c r="J3" s="2" t="s">
        <v>17</v>
      </c>
      <c r="K3" s="10" t="str">
        <f>CONCATENATE("ASNDV675700",Tabela1[[#This Row],[ROTA]])</f>
        <v>ASNDV6757007466987</v>
      </c>
      <c r="M3" s="16"/>
    </row>
    <row r="4" spans="1:14">
      <c r="A4" s="6">
        <v>18</v>
      </c>
      <c r="B4" s="5" t="s">
        <v>18</v>
      </c>
      <c r="C4" s="2">
        <v>741569</v>
      </c>
      <c r="D4" s="2">
        <v>33214</v>
      </c>
      <c r="E4" s="2">
        <v>34568</v>
      </c>
      <c r="F4" s="6">
        <v>567899</v>
      </c>
      <c r="G4" s="13">
        <v>23654</v>
      </c>
      <c r="H4" s="2" t="s">
        <v>19</v>
      </c>
      <c r="I4" s="4" t="s">
        <v>8</v>
      </c>
      <c r="J4" s="2" t="s">
        <v>20</v>
      </c>
      <c r="K4" s="10" t="str">
        <f>CONCATENATE("ASNDV675700",Tabela1[[#This Row],[ROTA]])</f>
        <v>ASNDV675700741569</v>
      </c>
      <c r="M4" s="16"/>
    </row>
    <row r="5" spans="1:14">
      <c r="A5" s="18">
        <v>19</v>
      </c>
      <c r="B5" s="19" t="s">
        <v>21</v>
      </c>
      <c r="C5" s="20">
        <v>7066478</v>
      </c>
      <c r="D5" s="20">
        <v>3698</v>
      </c>
      <c r="E5" s="20">
        <v>364578</v>
      </c>
      <c r="F5" s="18">
        <v>578963</v>
      </c>
      <c r="G5" s="21" t="s">
        <v>22</v>
      </c>
      <c r="H5" s="20" t="s">
        <v>16</v>
      </c>
      <c r="I5" s="4" t="s">
        <v>8</v>
      </c>
      <c r="J5" s="20" t="s">
        <v>23</v>
      </c>
      <c r="K5" s="10" t="str">
        <f>CONCATENATE("ASNDV675700",Tabela1[[#This Row],[ROTA]])</f>
        <v>ASNDV6757007066478</v>
      </c>
      <c r="M5" s="16"/>
    </row>
    <row r="6" spans="1:14">
      <c r="A6" s="18"/>
      <c r="B6" s="19"/>
      <c r="C6" s="20"/>
      <c r="D6" s="20"/>
      <c r="E6" s="20"/>
      <c r="F6" s="18"/>
      <c r="G6" s="21"/>
      <c r="H6" s="20"/>
      <c r="I6" s="4"/>
      <c r="J6" s="20"/>
      <c r="K6" s="10" t="str">
        <f>CONCATENATE("ASNDV675700",Tabela1[[#This Row],[ROTA]])</f>
        <v>ASNDV675700</v>
      </c>
      <c r="M6" s="16"/>
    </row>
    <row r="7" spans="1:14">
      <c r="B7" s="5"/>
      <c r="I7" s="4"/>
      <c r="M7" s="16"/>
    </row>
    <row r="8" spans="1:14">
      <c r="B8" s="5"/>
      <c r="I8" s="4"/>
      <c r="M8" s="16"/>
    </row>
    <row r="9" spans="1:14">
      <c r="B9" s="5"/>
      <c r="I9" s="4"/>
    </row>
    <row r="10" spans="1:14">
      <c r="B10" s="5"/>
      <c r="I10" s="4"/>
    </row>
    <row r="11" spans="1:14">
      <c r="B11" s="5"/>
      <c r="H11" s="2" t="s">
        <v>8</v>
      </c>
      <c r="I11" s="4" t="s">
        <v>8</v>
      </c>
    </row>
    <row r="12" spans="1:14">
      <c r="B12" s="5"/>
      <c r="I12" s="4"/>
    </row>
    <row r="13" spans="1:14">
      <c r="B13" s="5"/>
      <c r="I13" s="2"/>
    </row>
    <row r="18" spans="1:8">
      <c r="A18" s="8"/>
      <c r="B18" s="1"/>
      <c r="C18" s="1"/>
      <c r="D18" s="1"/>
      <c r="E18" s="1"/>
      <c r="F18" s="8"/>
      <c r="G18" s="12" t="s">
        <v>8</v>
      </c>
      <c r="H18" s="1" t="s">
        <v>8</v>
      </c>
    </row>
  </sheetData>
  <sheetProtection selectLockedCells="1" selectUnlockedCells="1"/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BASE_ESTORNOS</vt:lpstr>
      <vt:lpstr>Plan1</vt:lpstr>
      <vt:lpstr>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Cezar</dc:creator>
  <cp:lastModifiedBy>Renato Pereira de Andrade</cp:lastModifiedBy>
  <dcterms:created xsi:type="dcterms:W3CDTF">2021-09-25T22:05:36Z</dcterms:created>
  <dcterms:modified xsi:type="dcterms:W3CDTF">2021-09-29T09:36:04Z</dcterms:modified>
</cp:coreProperties>
</file>